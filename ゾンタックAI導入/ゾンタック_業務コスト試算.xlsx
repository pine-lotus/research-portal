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業務コスト試算" sheetId="1" state="visible" r:id="rId1"/>
  </sheets>
  <definedNames/>
  <calcPr calcId="124519" fullCalcOnLoad="1"/>
</workbook>
</file>

<file path=xl/styles.xml><?xml version="1.0" encoding="utf-8"?>
<styleSheet xmlns="http://schemas.openxmlformats.org/spreadsheetml/2006/main">
  <numFmts count="3">
    <numFmt numFmtId="164" formatCode="#,##0&quot;円&quot;"/>
    <numFmt numFmtId="165" formatCode="0&quot;時間&quot;"/>
    <numFmt numFmtId="166" formatCode="0.0"/>
  </numFmts>
  <fonts count="11">
    <font>
      <name val="Calibri"/>
      <family val="2"/>
      <color theme="1"/>
      <sz val="11"/>
      <scheme val="minor"/>
    </font>
    <font>
      <name val="Arial"/>
      <b val="1"/>
      <color rgb="001F2A44"/>
      <sz val="14"/>
    </font>
    <font>
      <name val="Arial"/>
      <b val="1"/>
      <color rgb="00FFFFFF"/>
      <sz val="10"/>
    </font>
    <font>
      <name val="Arial"/>
      <b val="1"/>
      <sz val="10"/>
    </font>
    <font>
      <name val="Arial"/>
      <sz val="10"/>
    </font>
    <font>
      <name val="Arial"/>
      <b val="1"/>
      <color rgb="00FFFFFF"/>
      <sz val="9"/>
    </font>
    <font>
      <name val="Arial"/>
      <b val="1"/>
      <color rgb="001F2A44"/>
      <sz val="9"/>
    </font>
    <font>
      <name val="Arial"/>
      <sz val="9"/>
    </font>
    <font>
      <name val="Arial"/>
      <b val="1"/>
    </font>
    <font>
      <name val="Arial"/>
      <b val="1"/>
      <color rgb="00B00000"/>
    </font>
    <font>
      <name val="Arial"/>
      <color rgb="00555555"/>
      <sz val="9"/>
    </font>
  </fonts>
  <fills count="7">
    <fill>
      <patternFill/>
    </fill>
    <fill>
      <patternFill patternType="gray125"/>
    </fill>
    <fill>
      <patternFill patternType="solid">
        <fgColor rgb="001F2A44"/>
      </patternFill>
    </fill>
    <fill>
      <patternFill patternType="solid">
        <fgColor rgb="00FFFF99"/>
      </patternFill>
    </fill>
    <fill>
      <patternFill patternType="solid">
        <fgColor rgb="00FFF6D8"/>
      </patternFill>
    </fill>
    <fill>
      <patternFill patternType="solid">
        <fgColor rgb="00E7ECF5"/>
      </patternFill>
    </fill>
    <fill>
      <patternFill patternType="solid">
        <fgColor rgb="00FFF1C9"/>
      </patternFill>
    </fill>
  </fills>
  <borders count="2">
    <border>
      <left/>
      <right/>
      <top/>
      <bottom/>
      <diagonal/>
    </border>
    <border>
      <left style="thin">
        <color rgb="00C9D0DE"/>
      </left>
      <right style="thin">
        <color rgb="00C9D0DE"/>
      </right>
      <top style="thin">
        <color rgb="00C9D0DE"/>
      </top>
      <bottom style="thin">
        <color rgb="00C9D0DE"/>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pivotButton="0" quotePrefix="0" xfId="0"/>
    <xf numFmtId="164" fontId="4" fillId="3" borderId="1" pivotButton="0" quotePrefix="0" xfId="0"/>
    <xf numFmtId="165" fontId="4" fillId="3" borderId="1" pivotButton="0" quotePrefix="0" xfId="0"/>
    <xf numFmtId="164" fontId="3" fillId="0" borderId="1" pivotButton="0" quotePrefix="0" xfId="0"/>
    <xf numFmtId="0" fontId="5" fillId="2" borderId="1" applyAlignment="1" pivotButton="0" quotePrefix="0" xfId="0">
      <alignment horizontal="center" vertical="center" wrapText="1"/>
    </xf>
    <xf numFmtId="0" fontId="6" fillId="0" borderId="1" pivotButton="0" quotePrefix="0" xfId="0"/>
    <xf numFmtId="0" fontId="7" fillId="0" borderId="1" pivotButton="0" quotePrefix="0" xfId="0"/>
    <xf numFmtId="0" fontId="0" fillId="0" borderId="1" applyAlignment="1" pivotButton="0" quotePrefix="0" xfId="0">
      <alignment horizontal="center"/>
    </xf>
    <xf numFmtId="0" fontId="0" fillId="0" borderId="1" pivotButton="0" quotePrefix="0" xfId="0"/>
    <xf numFmtId="0" fontId="7" fillId="0" borderId="1" applyAlignment="1" pivotButton="0" quotePrefix="0" xfId="0">
      <alignment horizontal="center"/>
    </xf>
    <xf numFmtId="166" fontId="0" fillId="4" borderId="1" applyAlignment="1" pivotButton="0" quotePrefix="0" xfId="0">
      <alignment horizontal="center"/>
    </xf>
    <xf numFmtId="164" fontId="0" fillId="4" borderId="1" applyAlignment="1" pivotButton="0" quotePrefix="0" xfId="0">
      <alignment horizontal="center"/>
    </xf>
    <xf numFmtId="166" fontId="0" fillId="0" borderId="1" applyAlignment="1" pivotButton="0" quotePrefix="0" xfId="0">
      <alignment horizontal="center"/>
    </xf>
    <xf numFmtId="164" fontId="0" fillId="0" borderId="1" applyAlignment="1" pivotButton="0" quotePrefix="0" xfId="0">
      <alignment horizontal="center"/>
    </xf>
    <xf numFmtId="0" fontId="0" fillId="5" borderId="1" pivotButton="0" quotePrefix="0" xfId="0"/>
    <xf numFmtId="0" fontId="3" fillId="5" borderId="1" pivotButton="0" quotePrefix="0" xfId="0"/>
    <xf numFmtId="166" fontId="8" fillId="5" borderId="1" pivotButton="0" quotePrefix="0" xfId="0"/>
    <xf numFmtId="164" fontId="9" fillId="5" borderId="1" pivotButton="0" quotePrefix="0" xfId="0"/>
    <xf numFmtId="0" fontId="0" fillId="6" borderId="1" pivotButton="0" quotePrefix="0" xfId="0"/>
    <xf numFmtId="0" fontId="3" fillId="6" borderId="1" pivotButton="0" quotePrefix="0" xfId="0"/>
    <xf numFmtId="166" fontId="8" fillId="6" borderId="1" pivotButton="0" quotePrefix="0" xfId="0"/>
    <xf numFmtId="164" fontId="9" fillId="6" borderId="1"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9"/>
  <sheetViews>
    <sheetView workbookViewId="0">
      <pane ySplit="7" topLeftCell="A8" activePane="bottomLeft" state="frozen"/>
      <selection pane="bottomLeft" activeCell="A1" sqref="A1"/>
    </sheetView>
  </sheetViews>
  <sheetFormatPr baseColWidth="8" defaultRowHeight="15"/>
  <cols>
    <col width="22" customWidth="1" min="1" max="1"/>
    <col width="30" customWidth="1" min="2" max="2"/>
    <col width="6" customWidth="1" min="3" max="3"/>
    <col width="14" customWidth="1" min="4" max="4"/>
    <col width="13" customWidth="1" min="5" max="5"/>
    <col width="11" customWidth="1" min="6" max="6"/>
    <col width="8" customWidth="1" min="7" max="7"/>
    <col width="7" customWidth="1" min="8" max="8"/>
    <col width="9" customWidth="1" min="9" max="9"/>
    <col width="6" customWidth="1" min="10" max="10"/>
    <col width="14" customWidth="1" min="11" max="11"/>
    <col width="11" customWidth="1" min="12" max="12"/>
    <col width="11" customWidth="1" min="13" max="13"/>
    <col width="14" customWidth="1" min="14" max="14"/>
    <col width="8" customWidth="1" min="15" max="15"/>
    <col width="28" customWidth="1" min="16" max="16"/>
  </cols>
  <sheetData>
    <row r="1">
      <c r="A1" s="1" t="inlineStr">
        <is>
          <t>ゾンタック 業務コスト試算（記入済みヒアリングシートより算出）</t>
        </is>
      </c>
    </row>
    <row r="2" ht="28" customHeight="1">
      <c r="A2" s="2" t="inlineStr">
        <is>
          <t>種別（データ行と一致）</t>
        </is>
      </c>
      <c r="B2" s="2" t="inlineStr">
        <is>
          <t>月給</t>
        </is>
      </c>
      <c r="C2" s="2" t="inlineStr">
        <is>
          <t>月労働時間</t>
        </is>
      </c>
      <c r="D2" s="2" t="inlineStr">
        <is>
          <t>時給（自動計算）</t>
        </is>
      </c>
    </row>
    <row r="3">
      <c r="A3" s="3" t="inlineStr">
        <is>
          <t>管理職</t>
        </is>
      </c>
      <c r="B3" s="4" t="n">
        <v>500000</v>
      </c>
      <c r="C3" s="5" t="n">
        <v>160</v>
      </c>
      <c r="D3" s="6">
        <f>B3/C3</f>
        <v/>
      </c>
    </row>
    <row r="4">
      <c r="A4" s="3" t="inlineStr">
        <is>
          <t>スタッフ</t>
        </is>
      </c>
      <c r="B4" s="4" t="n">
        <v>400000</v>
      </c>
      <c r="C4" s="5" t="n">
        <v>160</v>
      </c>
      <c r="D4" s="6">
        <f>B4/C4</f>
        <v/>
      </c>
    </row>
    <row r="5">
      <c r="A5" s="3" t="inlineStr">
        <is>
          <t>清掃スタッフ</t>
        </is>
      </c>
      <c r="B5" s="4" t="n">
        <v>400000</v>
      </c>
      <c r="C5" s="5" t="n">
        <v>160</v>
      </c>
      <c r="D5" s="6">
        <f>B5/C5</f>
        <v/>
      </c>
    </row>
    <row r="7" ht="30" customHeight="1">
      <c r="A7" s="7" t="inlineStr">
        <is>
          <t>業務カテゴリ</t>
        </is>
      </c>
      <c r="B7" s="7" t="inlineStr">
        <is>
          <t>業務内容</t>
        </is>
      </c>
      <c r="C7" s="7" t="inlineStr">
        <is>
          <t>ある？</t>
        </is>
      </c>
      <c r="D7" s="7" t="inlineStr">
        <is>
          <t>頻度(原文)</t>
        </is>
      </c>
      <c r="E7" s="7" t="inlineStr">
        <is>
          <t>1回時間(原文)</t>
        </is>
      </c>
      <c r="F7" s="7" t="inlineStr">
        <is>
          <t>月合計(原文)</t>
        </is>
      </c>
      <c r="G7" s="7" t="inlineStr">
        <is>
          <t>中央値(分)</t>
        </is>
      </c>
      <c r="H7" s="7" t="inlineStr">
        <is>
          <t>回/月</t>
        </is>
      </c>
      <c r="I7" s="7" t="inlineStr">
        <is>
          <t>稼働月/年</t>
        </is>
      </c>
      <c r="J7" s="7" t="inlineStr">
        <is>
          <t>人数</t>
        </is>
      </c>
      <c r="K7" s="7" t="inlineStr">
        <is>
          <t>種別</t>
        </is>
      </c>
      <c r="L7" s="7" t="inlineStr">
        <is>
          <t>月間時間(h)</t>
        </is>
      </c>
      <c r="M7" s="7" t="inlineStr">
        <is>
          <t>年間時間(h)</t>
        </is>
      </c>
      <c r="N7" s="7" t="inlineStr">
        <is>
          <t>想定年間コスト</t>
        </is>
      </c>
      <c r="O7" s="7" t="inlineStr">
        <is>
          <t>AI対象</t>
        </is>
      </c>
      <c r="P7" s="7" t="inlineStr">
        <is>
          <t>メモ</t>
        </is>
      </c>
    </row>
    <row r="8">
      <c r="A8" s="8" t="inlineStr">
        <is>
          <t>1. 予約・問い合わせ</t>
        </is>
      </c>
      <c r="B8" s="9" t="inlineStr">
        <is>
          <t>問い合わせ対応（空室・質問の返信）</t>
        </is>
      </c>
      <c r="C8" s="10" t="inlineStr">
        <is>
          <t>○</t>
        </is>
      </c>
      <c r="D8" s="9" t="inlineStr">
        <is>
          <t>週4回</t>
        </is>
      </c>
      <c r="E8" s="9" t="inlineStr">
        <is>
          <t>10〜30分</t>
        </is>
      </c>
      <c r="F8" s="11" t="inlineStr">
        <is>
          <t>3日程度</t>
        </is>
      </c>
      <c r="G8" s="10" t="n">
        <v>20</v>
      </c>
      <c r="H8" s="10" t="n">
        <v>17.2</v>
      </c>
      <c r="I8" s="10" t="n">
        <v>12</v>
      </c>
      <c r="J8" s="10" t="n">
        <v>2</v>
      </c>
      <c r="K8" s="12" t="inlineStr">
        <is>
          <t>管理職</t>
        </is>
      </c>
      <c r="L8" s="13">
        <f>G8/60*H8</f>
        <v/>
      </c>
      <c r="M8" s="13">
        <f>L8*I8</f>
        <v/>
      </c>
      <c r="N8" s="14">
        <f>M8*J8*INDEX($D$3:$D$5,MATCH(K8,$A$3:$A$5,0))</f>
        <v/>
      </c>
      <c r="O8" s="10" t="inlineStr">
        <is>
          <t>○</t>
        </is>
      </c>
      <c r="P8" s="9" t="inlineStr">
        <is>
          <t>空室管理ができておらず回答に時間</t>
        </is>
      </c>
    </row>
    <row r="9">
      <c r="A9" s="8" t="inlineStr"/>
      <c r="B9" s="9" t="inlineStr">
        <is>
          <t>予約受付・台帳への入力</t>
        </is>
      </c>
      <c r="C9" s="10" t="inlineStr">
        <is>
          <t>○</t>
        </is>
      </c>
      <c r="D9" s="9" t="inlineStr">
        <is>
          <t>週4回</t>
        </is>
      </c>
      <c r="E9" s="9" t="inlineStr">
        <is>
          <t>10〜30分</t>
        </is>
      </c>
      <c r="F9" s="11" t="inlineStr">
        <is>
          <t>3日程度</t>
        </is>
      </c>
      <c r="G9" s="10" t="n">
        <v>20</v>
      </c>
      <c r="H9" s="10" t="n">
        <v>17.2</v>
      </c>
      <c r="I9" s="10" t="n">
        <v>12</v>
      </c>
      <c r="J9" s="10" t="n">
        <v>2</v>
      </c>
      <c r="K9" s="12" t="inlineStr">
        <is>
          <t>管理職</t>
        </is>
      </c>
      <c r="L9" s="13">
        <f>G9/60*H9</f>
        <v/>
      </c>
      <c r="M9" s="13">
        <f>L9*I9</f>
        <v/>
      </c>
      <c r="N9" s="14">
        <f>M9*J9*INDEX($D$3:$D$5,MATCH(K9,$A$3:$A$5,0))</f>
        <v/>
      </c>
      <c r="O9" s="10" t="inlineStr">
        <is>
          <t>○</t>
        </is>
      </c>
      <c r="P9" s="9" t="inlineStr">
        <is>
          <t>同上（空室が見えない）</t>
        </is>
      </c>
    </row>
    <row r="10">
      <c r="A10" s="8" t="inlineStr"/>
      <c r="B10" s="9" t="inlineStr">
        <is>
          <t>予約サイト(OTA)の在庫・料金調整</t>
        </is>
      </c>
      <c r="C10" s="10" t="inlineStr">
        <is>
          <t>○</t>
        </is>
      </c>
      <c r="D10" s="9" t="inlineStr">
        <is>
          <t>年5回</t>
        </is>
      </c>
      <c r="E10" s="9" t="inlineStr">
        <is>
          <t>10〜30分</t>
        </is>
      </c>
      <c r="F10" s="11" t="inlineStr"/>
      <c r="G10" s="10" t="n">
        <v>20</v>
      </c>
      <c r="H10" s="10" t="n">
        <v>0.4</v>
      </c>
      <c r="I10" s="10" t="n">
        <v>12</v>
      </c>
      <c r="J10" s="10" t="n">
        <v>2</v>
      </c>
      <c r="K10" s="12" t="inlineStr">
        <is>
          <t>管理職</t>
        </is>
      </c>
      <c r="L10" s="13">
        <f>G10/60*H10</f>
        <v/>
      </c>
      <c r="M10" s="13">
        <f>L10*I10</f>
        <v/>
      </c>
      <c r="N10" s="14">
        <f>M10*J10*INDEX($D$3:$D$5,MATCH(K10,$A$3:$A$5,0))</f>
        <v/>
      </c>
      <c r="O10" s="10" t="inlineStr">
        <is>
          <t>○</t>
        </is>
      </c>
      <c r="P10" s="9" t="inlineStr">
        <is>
          <t>OTA経由の予約は少ない</t>
        </is>
      </c>
    </row>
    <row r="11">
      <c r="A11" s="8" t="inlineStr"/>
      <c r="B11" s="9" t="inlineStr">
        <is>
          <t>予約確認・前日リマインド連絡</t>
        </is>
      </c>
      <c r="C11" s="10" t="inlineStr">
        <is>
          <t>○</t>
        </is>
      </c>
      <c r="D11" s="9" t="inlineStr">
        <is>
          <t>ごくたまに</t>
        </is>
      </c>
      <c r="E11" s="9" t="inlineStr">
        <is>
          <t>10〜30分</t>
        </is>
      </c>
      <c r="F11" s="11" t="inlineStr"/>
      <c r="G11" s="10" t="n">
        <v>20</v>
      </c>
      <c r="H11" s="10" t="n">
        <v>1</v>
      </c>
      <c r="I11" s="10" t="n">
        <v>12</v>
      </c>
      <c r="J11" s="10" t="n">
        <v>2</v>
      </c>
      <c r="K11" s="12" t="inlineStr">
        <is>
          <t>管理職</t>
        </is>
      </c>
      <c r="L11" s="13">
        <f>G11/60*H11</f>
        <v/>
      </c>
      <c r="M11" s="13">
        <f>L11*I11</f>
        <v/>
      </c>
      <c r="N11" s="14">
        <f>M11*J11*INDEX($D$3:$D$5,MATCH(K11,$A$3:$A$5,0))</f>
        <v/>
      </c>
      <c r="O11" s="10" t="inlineStr">
        <is>
          <t>○</t>
        </is>
      </c>
      <c r="P11" s="9" t="inlineStr">
        <is>
          <t>仮予約の確認など</t>
        </is>
      </c>
    </row>
    <row r="12">
      <c r="A12" s="8" t="inlineStr"/>
      <c r="B12" s="9" t="inlineStr">
        <is>
          <t>変更・キャンセル対応</t>
        </is>
      </c>
      <c r="C12" s="10" t="inlineStr">
        <is>
          <t>○</t>
        </is>
      </c>
      <c r="D12" s="9" t="inlineStr">
        <is>
          <t>ごくたまに</t>
        </is>
      </c>
      <c r="E12" s="9" t="inlineStr">
        <is>
          <t>10〜30分</t>
        </is>
      </c>
      <c r="F12" s="11" t="inlineStr"/>
      <c r="G12" s="10" t="n">
        <v>20</v>
      </c>
      <c r="H12" s="10" t="n">
        <v>1</v>
      </c>
      <c r="I12" s="10" t="n">
        <v>12</v>
      </c>
      <c r="J12" s="10" t="n">
        <v>2</v>
      </c>
      <c r="K12" s="12" t="inlineStr">
        <is>
          <t>管理職</t>
        </is>
      </c>
      <c r="L12" s="13">
        <f>G12/60*H12</f>
        <v/>
      </c>
      <c r="M12" s="13">
        <f>L12*I12</f>
        <v/>
      </c>
      <c r="N12" s="14">
        <f>M12*J12*INDEX($D$3:$D$5,MATCH(K12,$A$3:$A$5,0))</f>
        <v/>
      </c>
      <c r="O12" s="10" t="inlineStr">
        <is>
          <t>○</t>
        </is>
      </c>
      <c r="P12" s="9" t="inlineStr"/>
    </row>
    <row r="13">
      <c r="A13" s="8" t="inlineStr"/>
      <c r="B13" s="9" t="inlineStr">
        <is>
          <t>見積・請求（団体・合宿）</t>
        </is>
      </c>
      <c r="C13" s="10" t="inlineStr">
        <is>
          <t>○</t>
        </is>
      </c>
      <c r="D13" s="9" t="inlineStr">
        <is>
          <t>週1回</t>
        </is>
      </c>
      <c r="E13" s="9" t="inlineStr">
        <is>
          <t>30分</t>
        </is>
      </c>
      <c r="F13" s="11" t="inlineStr"/>
      <c r="G13" s="10" t="n">
        <v>30</v>
      </c>
      <c r="H13" s="10" t="n">
        <v>4.3</v>
      </c>
      <c r="I13" s="10" t="n">
        <v>12</v>
      </c>
      <c r="J13" s="10" t="n">
        <v>2</v>
      </c>
      <c r="K13" s="12" t="inlineStr">
        <is>
          <t>管理職</t>
        </is>
      </c>
      <c r="L13" s="13">
        <f>G13/60*H13</f>
        <v/>
      </c>
      <c r="M13" s="13">
        <f>L13*I13</f>
        <v/>
      </c>
      <c r="N13" s="14">
        <f>M13*J13*INDEX($D$3:$D$5,MATCH(K13,$A$3:$A$5,0))</f>
        <v/>
      </c>
      <c r="O13" s="10" t="inlineStr">
        <is>
          <t>○</t>
        </is>
      </c>
      <c r="P13" s="9" t="inlineStr">
        <is>
          <t>料金基準がなく出しづらい</t>
        </is>
      </c>
    </row>
    <row r="14">
      <c r="A14" s="8" t="inlineStr">
        <is>
          <t>2. 接客・滞在</t>
        </is>
      </c>
      <c r="B14" s="9" t="inlineStr">
        <is>
          <t>チェックイン・受付</t>
        </is>
      </c>
      <c r="C14" s="10" t="inlineStr">
        <is>
          <t>○</t>
        </is>
      </c>
      <c r="D14" s="9" t="inlineStr">
        <is>
          <t>ほぼ毎日(6-9/12-3月)</t>
        </is>
      </c>
      <c r="E14" s="9" t="inlineStr">
        <is>
          <t>5分</t>
        </is>
      </c>
      <c r="F14" s="11" t="inlineStr"/>
      <c r="G14" s="10" t="n">
        <v>5</v>
      </c>
      <c r="H14" s="10" t="n">
        <v>30</v>
      </c>
      <c r="I14" s="10" t="n">
        <v>8</v>
      </c>
      <c r="J14" s="10" t="n">
        <v>2</v>
      </c>
      <c r="K14" s="12" t="inlineStr">
        <is>
          <t>管理職</t>
        </is>
      </c>
      <c r="L14" s="15">
        <f>G14/60*H14</f>
        <v/>
      </c>
      <c r="M14" s="15">
        <f>L14*I14</f>
        <v/>
      </c>
      <c r="N14" s="16">
        <f>M14*J14*INDEX($D$3:$D$5,MATCH(K14,$A$3:$A$5,0))</f>
        <v/>
      </c>
      <c r="O14" s="10" t="inlineStr">
        <is>
          <t>—</t>
        </is>
      </c>
      <c r="P14" s="9" t="inlineStr">
        <is>
          <t>ソフトで管理</t>
        </is>
      </c>
    </row>
    <row r="15">
      <c r="A15" s="8" t="inlineStr"/>
      <c r="B15" s="9" t="inlineStr">
        <is>
          <t>館内案内・滞在中の問い合わせ</t>
        </is>
      </c>
      <c r="C15" s="10" t="inlineStr">
        <is>
          <t>○</t>
        </is>
      </c>
      <c r="D15" s="9" t="inlineStr">
        <is>
          <t>ほぼ毎日(7-9月)</t>
        </is>
      </c>
      <c r="E15" s="9" t="inlineStr">
        <is>
          <t>10分</t>
        </is>
      </c>
      <c r="F15" s="11" t="inlineStr"/>
      <c r="G15" s="10" t="n">
        <v>10</v>
      </c>
      <c r="H15" s="10" t="n">
        <v>30</v>
      </c>
      <c r="I15" s="10" t="n">
        <v>3</v>
      </c>
      <c r="J15" s="10" t="n">
        <v>2</v>
      </c>
      <c r="K15" s="12" t="inlineStr">
        <is>
          <t>管理職</t>
        </is>
      </c>
      <c r="L15" s="15">
        <f>G15/60*H15</f>
        <v/>
      </c>
      <c r="M15" s="15">
        <f>L15*I15</f>
        <v/>
      </c>
      <c r="N15" s="16">
        <f>M15*J15*INDEX($D$3:$D$5,MATCH(K15,$A$3:$A$5,0))</f>
        <v/>
      </c>
      <c r="O15" s="10" t="inlineStr">
        <is>
          <t>—</t>
        </is>
      </c>
      <c r="P15" s="9" t="inlineStr">
        <is>
          <t>グラウンド割当が手間</t>
        </is>
      </c>
    </row>
    <row r="16">
      <c r="A16" s="8" t="inlineStr"/>
      <c r="B16" s="9" t="inlineStr">
        <is>
          <t>食事の手配・配膳（人数・アレルギー）</t>
        </is>
      </c>
      <c r="C16" s="10" t="inlineStr">
        <is>
          <t>○</t>
        </is>
      </c>
      <c r="D16" s="9" t="inlineStr">
        <is>
          <t>合宿5チームに1ほど</t>
        </is>
      </c>
      <c r="E16" s="9" t="inlineStr">
        <is>
          <t>30分</t>
        </is>
      </c>
      <c r="F16" s="11" t="inlineStr"/>
      <c r="G16" s="10" t="n">
        <v>30</v>
      </c>
      <c r="H16" s="10" t="n">
        <v>4</v>
      </c>
      <c r="I16" s="10" t="n">
        <v>6</v>
      </c>
      <c r="J16" s="10" t="n">
        <v>2</v>
      </c>
      <c r="K16" s="12" t="inlineStr">
        <is>
          <t>管理職</t>
        </is>
      </c>
      <c r="L16" s="13">
        <f>G16/60*H16</f>
        <v/>
      </c>
      <c r="M16" s="13">
        <f>L16*I16</f>
        <v/>
      </c>
      <c r="N16" s="14">
        <f>M16*J16*INDEX($D$3:$D$5,MATCH(K16,$A$3:$A$5,0))</f>
        <v/>
      </c>
      <c r="O16" s="10" t="inlineStr">
        <is>
          <t>○</t>
        </is>
      </c>
      <c r="P16" s="9" t="inlineStr">
        <is>
          <t>メール/FAX→厨房→アレルギー表印刷</t>
        </is>
      </c>
    </row>
    <row r="17">
      <c r="A17" s="8" t="inlineStr"/>
      <c r="B17" s="9" t="inlineStr">
        <is>
          <t>会計・精算</t>
        </is>
      </c>
      <c r="C17" s="10" t="inlineStr">
        <is>
          <t>○</t>
        </is>
      </c>
      <c r="D17" s="9" t="inlineStr">
        <is>
          <t>ほぼ毎日(6-9/12-3月)</t>
        </is>
      </c>
      <c r="E17" s="9" t="inlineStr">
        <is>
          <t>5分</t>
        </is>
      </c>
      <c r="F17" s="11" t="inlineStr"/>
      <c r="G17" s="10" t="n">
        <v>5</v>
      </c>
      <c r="H17" s="10" t="n">
        <v>30</v>
      </c>
      <c r="I17" s="10" t="n">
        <v>8</v>
      </c>
      <c r="J17" s="10" t="n">
        <v>2</v>
      </c>
      <c r="K17" s="12" t="inlineStr">
        <is>
          <t>管理職</t>
        </is>
      </c>
      <c r="L17" s="15">
        <f>G17/60*H17</f>
        <v/>
      </c>
      <c r="M17" s="15">
        <f>L17*I17</f>
        <v/>
      </c>
      <c r="N17" s="16">
        <f>M17*J17*INDEX($D$3:$D$5,MATCH(K17,$A$3:$A$5,0))</f>
        <v/>
      </c>
      <c r="O17" s="10" t="inlineStr">
        <is>
          <t>—</t>
        </is>
      </c>
      <c r="P17" s="9" t="inlineStr">
        <is>
          <t>現金/クレカ/振込</t>
        </is>
      </c>
    </row>
    <row r="18">
      <c r="A18" s="8" t="inlineStr"/>
      <c r="B18" s="9" t="inlineStr">
        <is>
          <t>チェックアウト</t>
        </is>
      </c>
      <c r="C18" s="10" t="inlineStr">
        <is>
          <t>○</t>
        </is>
      </c>
      <c r="D18" s="9" t="inlineStr">
        <is>
          <t>ほぼ毎日(6-9/12-3月)</t>
        </is>
      </c>
      <c r="E18" s="9" t="inlineStr">
        <is>
          <t>5分</t>
        </is>
      </c>
      <c r="F18" s="11" t="inlineStr"/>
      <c r="G18" s="10" t="n">
        <v>5</v>
      </c>
      <c r="H18" s="10" t="n">
        <v>30</v>
      </c>
      <c r="I18" s="10" t="n">
        <v>8</v>
      </c>
      <c r="J18" s="10" t="n">
        <v>2</v>
      </c>
      <c r="K18" s="12" t="inlineStr">
        <is>
          <t>管理職</t>
        </is>
      </c>
      <c r="L18" s="15">
        <f>G18/60*H18</f>
        <v/>
      </c>
      <c r="M18" s="15">
        <f>L18*I18</f>
        <v/>
      </c>
      <c r="N18" s="16">
        <f>M18*J18*INDEX($D$3:$D$5,MATCH(K18,$A$3:$A$5,0))</f>
        <v/>
      </c>
      <c r="O18" s="10" t="inlineStr">
        <is>
          <t>—</t>
        </is>
      </c>
      <c r="P18" s="9" t="inlineStr">
        <is>
          <t>ソフトで管理</t>
        </is>
      </c>
    </row>
    <row r="19">
      <c r="A19" s="8" t="inlineStr">
        <is>
          <t>3. 清掃・館内管理</t>
        </is>
      </c>
      <c r="B19" s="9" t="inlineStr">
        <is>
          <t>客室清掃</t>
        </is>
      </c>
      <c r="C19" s="10" t="inlineStr">
        <is>
          <t>○</t>
        </is>
      </c>
      <c r="D19" s="9" t="inlineStr">
        <is>
          <t>ほぼ毎日(6-9/12-3月)</t>
        </is>
      </c>
      <c r="E19" s="9" t="inlineStr">
        <is>
          <t>3〜7時間</t>
        </is>
      </c>
      <c r="F19" s="11" t="inlineStr"/>
      <c r="G19" s="10" t="n">
        <v>300</v>
      </c>
      <c r="H19" s="10" t="n">
        <v>30</v>
      </c>
      <c r="I19" s="10" t="n">
        <v>8</v>
      </c>
      <c r="J19" s="10" t="n">
        <v>7</v>
      </c>
      <c r="K19" s="12" t="inlineStr">
        <is>
          <t>清掃スタッフ</t>
        </is>
      </c>
      <c r="L19" s="15">
        <f>G19/60*H19</f>
        <v/>
      </c>
      <c r="M19" s="15">
        <f>L19*I19</f>
        <v/>
      </c>
      <c r="N19" s="16">
        <f>M19*J19*INDEX($D$3:$D$5,MATCH(K19,$A$3:$A$5,0))</f>
        <v/>
      </c>
      <c r="O19" s="10" t="inlineStr">
        <is>
          <t>—</t>
        </is>
      </c>
      <c r="P19" s="9" t="inlineStr">
        <is>
          <t>指示書を毎日手書き／物理作業</t>
        </is>
      </c>
    </row>
    <row r="20">
      <c r="A20" s="8" t="inlineStr"/>
      <c r="B20" s="9" t="inlineStr">
        <is>
          <t>共用部清掃</t>
        </is>
      </c>
      <c r="C20" s="10" t="inlineStr">
        <is>
          <t>○</t>
        </is>
      </c>
      <c r="D20" s="9" t="inlineStr">
        <is>
          <t>ほぼ毎日(6-9/12-3月)</t>
        </is>
      </c>
      <c r="E20" s="9" t="inlineStr">
        <is>
          <t>3〜7時間</t>
        </is>
      </c>
      <c r="F20" s="11" t="inlineStr"/>
      <c r="G20" s="10" t="n">
        <v>300</v>
      </c>
      <c r="H20" s="10" t="n">
        <v>30</v>
      </c>
      <c r="I20" s="10" t="n">
        <v>8</v>
      </c>
      <c r="J20" s="10" t="n">
        <v>7</v>
      </c>
      <c r="K20" s="12" t="inlineStr">
        <is>
          <t>清掃スタッフ</t>
        </is>
      </c>
      <c r="L20" s="15">
        <f>G20/60*H20</f>
        <v/>
      </c>
      <c r="M20" s="15">
        <f>L20*I20</f>
        <v/>
      </c>
      <c r="N20" s="16">
        <f>M20*J20*INDEX($D$3:$D$5,MATCH(K20,$A$3:$A$5,0))</f>
        <v/>
      </c>
      <c r="O20" s="10" t="inlineStr">
        <is>
          <t>—</t>
        </is>
      </c>
      <c r="P20" s="9" t="inlineStr">
        <is>
          <t>指示書を毎日手書き／物理作業</t>
        </is>
      </c>
    </row>
    <row r="21">
      <c r="A21" s="8" t="inlineStr"/>
      <c r="B21" s="9" t="inlineStr">
        <is>
          <t>リネン・備品管理・発注</t>
        </is>
      </c>
      <c r="C21" s="10" t="inlineStr">
        <is>
          <t>○</t>
        </is>
      </c>
      <c r="D21" s="9" t="inlineStr">
        <is>
          <t>週3回</t>
        </is>
      </c>
      <c r="E21" s="9" t="inlineStr">
        <is>
          <t>5分</t>
        </is>
      </c>
      <c r="F21" s="11" t="inlineStr"/>
      <c r="G21" s="10" t="n">
        <v>5</v>
      </c>
      <c r="H21" s="10" t="n">
        <v>12.9</v>
      </c>
      <c r="I21" s="10" t="n">
        <v>12</v>
      </c>
      <c r="J21" s="10" t="n">
        <v>1</v>
      </c>
      <c r="K21" s="12" t="inlineStr">
        <is>
          <t>スタッフ</t>
        </is>
      </c>
      <c r="L21" s="13">
        <f>G21/60*H21</f>
        <v/>
      </c>
      <c r="M21" s="13">
        <f>L21*I21</f>
        <v/>
      </c>
      <c r="N21" s="14">
        <f>M21*J21*INDEX($D$3:$D$5,MATCH(K21,$A$3:$A$5,0))</f>
        <v/>
      </c>
      <c r="O21" s="10" t="inlineStr">
        <is>
          <t>○</t>
        </is>
      </c>
      <c r="P21" s="9" t="inlineStr">
        <is>
          <t>FAX発注・報告/発注忘れあり</t>
        </is>
      </c>
    </row>
    <row r="22">
      <c r="A22" s="8" t="inlineStr"/>
      <c r="B22" s="9" t="inlineStr">
        <is>
          <t>設備点検・メンテ手配</t>
        </is>
      </c>
      <c r="C22" s="10" t="inlineStr">
        <is>
          <t>○</t>
        </is>
      </c>
      <c r="D22" s="9" t="inlineStr">
        <is>
          <t>週2回</t>
        </is>
      </c>
      <c r="E22" s="9" t="inlineStr">
        <is>
          <t>3〜4時間</t>
        </is>
      </c>
      <c r="F22" s="11" t="inlineStr"/>
      <c r="G22" s="10" t="n">
        <v>210</v>
      </c>
      <c r="H22" s="10" t="n">
        <v>8.6</v>
      </c>
      <c r="I22" s="10" t="n">
        <v>12</v>
      </c>
      <c r="J22" s="10" t="n">
        <v>3</v>
      </c>
      <c r="K22" s="12" t="inlineStr">
        <is>
          <t>スタッフ</t>
        </is>
      </c>
      <c r="L22" s="15">
        <f>G22/60*H22</f>
        <v/>
      </c>
      <c r="M22" s="15">
        <f>L22*I22</f>
        <v/>
      </c>
      <c r="N22" s="16">
        <f>M22*J22*INDEX($D$3:$D$5,MATCH(K22,$A$3:$A$5,0))</f>
        <v/>
      </c>
      <c r="O22" s="10" t="inlineStr">
        <is>
          <t>—</t>
        </is>
      </c>
      <c r="P22" s="9" t="inlineStr">
        <is>
          <t>芝刈・ライン引き等／物理作業</t>
        </is>
      </c>
    </row>
    <row r="23">
      <c r="A23" s="8" t="inlineStr">
        <is>
          <t>4. 仕入れ・手配</t>
        </is>
      </c>
      <c r="B23" s="9" t="inlineStr">
        <is>
          <t>食材・備品の発注</t>
        </is>
      </c>
      <c r="C23" s="10" t="inlineStr">
        <is>
          <t>○</t>
        </is>
      </c>
      <c r="D23" s="9" t="inlineStr">
        <is>
          <t>ほぼ毎日(6-9/12-3月)</t>
        </is>
      </c>
      <c r="E23" s="9" t="inlineStr">
        <is>
          <t>5分</t>
        </is>
      </c>
      <c r="F23" s="11" t="inlineStr"/>
      <c r="G23" s="10" t="n">
        <v>5</v>
      </c>
      <c r="H23" s="10" t="n">
        <v>30</v>
      </c>
      <c r="I23" s="10" t="n">
        <v>8</v>
      </c>
      <c r="J23" s="10" t="n">
        <v>2</v>
      </c>
      <c r="K23" s="12" t="inlineStr">
        <is>
          <t>スタッフ</t>
        </is>
      </c>
      <c r="L23" s="13">
        <f>G23/60*H23</f>
        <v/>
      </c>
      <c r="M23" s="13">
        <f>L23*I23</f>
        <v/>
      </c>
      <c r="N23" s="14">
        <f>M23*J23*INDEX($D$3:$D$5,MATCH(K23,$A$3:$A$5,0))</f>
        <v/>
      </c>
      <c r="O23" s="10" t="inlineStr">
        <is>
          <t>○</t>
        </is>
      </c>
      <c r="P23" s="9" t="inlineStr">
        <is>
          <t>FAX/ネット通販</t>
        </is>
      </c>
    </row>
    <row r="24">
      <c r="A24" s="8" t="inlineStr"/>
      <c r="B24" s="9" t="inlineStr">
        <is>
          <t>業者とのやりとり</t>
        </is>
      </c>
      <c r="C24" s="10" t="inlineStr">
        <is>
          <t>○</t>
        </is>
      </c>
      <c r="D24" s="9" t="inlineStr">
        <is>
          <t>ほぼ毎日(6-9/12-3月)</t>
        </is>
      </c>
      <c r="E24" s="9" t="inlineStr">
        <is>
          <t>5分</t>
        </is>
      </c>
      <c r="F24" s="11" t="inlineStr"/>
      <c r="G24" s="10" t="n">
        <v>5</v>
      </c>
      <c r="H24" s="10" t="n">
        <v>30</v>
      </c>
      <c r="I24" s="10" t="n">
        <v>8</v>
      </c>
      <c r="J24" s="10" t="n">
        <v>3</v>
      </c>
      <c r="K24" s="12" t="inlineStr">
        <is>
          <t>スタッフ</t>
        </is>
      </c>
      <c r="L24" s="13">
        <f>G24/60*H24</f>
        <v/>
      </c>
      <c r="M24" s="13">
        <f>L24*I24</f>
        <v/>
      </c>
      <c r="N24" s="14">
        <f>M24*J24*INDEX($D$3:$D$5,MATCH(K24,$A$3:$A$5,0))</f>
        <v/>
      </c>
      <c r="O24" s="10" t="inlineStr">
        <is>
          <t>○</t>
        </is>
      </c>
      <c r="P24" s="9" t="inlineStr">
        <is>
          <t>見積/納期確認</t>
        </is>
      </c>
    </row>
    <row r="25">
      <c r="A25" s="8" t="inlineStr">
        <is>
          <t>5. 売上・経理・事務</t>
        </is>
      </c>
      <c r="B25" s="9" t="inlineStr">
        <is>
          <t>売上集計・日報</t>
        </is>
      </c>
      <c r="C25" s="10" t="inlineStr">
        <is>
          <t>○</t>
        </is>
      </c>
      <c r="D25" s="9" t="inlineStr">
        <is>
          <t>ほぼ毎日(6-9/12-3月)</t>
        </is>
      </c>
      <c r="E25" s="9" t="inlineStr">
        <is>
          <t>1時間</t>
        </is>
      </c>
      <c r="F25" s="11" t="inlineStr"/>
      <c r="G25" s="10" t="n">
        <v>60</v>
      </c>
      <c r="H25" s="10" t="n">
        <v>30</v>
      </c>
      <c r="I25" s="10" t="n">
        <v>8</v>
      </c>
      <c r="J25" s="10" t="n">
        <v>1</v>
      </c>
      <c r="K25" s="12" t="inlineStr">
        <is>
          <t>管理職</t>
        </is>
      </c>
      <c r="L25" s="13">
        <f>G25/60*H25</f>
        <v/>
      </c>
      <c r="M25" s="13">
        <f>L25*I25</f>
        <v/>
      </c>
      <c r="N25" s="14">
        <f>M25*J25*INDEX($D$3:$D$5,MATCH(K25,$A$3:$A$5,0))</f>
        <v/>
      </c>
      <c r="O25" s="10" t="inlineStr">
        <is>
          <t>○</t>
        </is>
      </c>
      <c r="P25" s="9" t="inlineStr">
        <is>
          <t>MF使用</t>
        </is>
      </c>
    </row>
    <row r="26">
      <c r="A26" s="8" t="inlineStr"/>
      <c r="B26" s="9" t="inlineStr">
        <is>
          <t>請求・入金管理</t>
        </is>
      </c>
      <c r="C26" s="10" t="inlineStr">
        <is>
          <t>○</t>
        </is>
      </c>
      <c r="D26" s="9" t="inlineStr">
        <is>
          <t>ほぼ毎日(6-9/12-3月)</t>
        </is>
      </c>
      <c r="E26" s="9" t="inlineStr">
        <is>
          <t>1時間</t>
        </is>
      </c>
      <c r="F26" s="11" t="inlineStr"/>
      <c r="G26" s="10" t="n">
        <v>60</v>
      </c>
      <c r="H26" s="10" t="n">
        <v>30</v>
      </c>
      <c r="I26" s="10" t="n">
        <v>8</v>
      </c>
      <c r="J26" s="10" t="n">
        <v>1</v>
      </c>
      <c r="K26" s="12" t="inlineStr">
        <is>
          <t>管理職</t>
        </is>
      </c>
      <c r="L26" s="13">
        <f>G26/60*H26</f>
        <v/>
      </c>
      <c r="M26" s="13">
        <f>L26*I26</f>
        <v/>
      </c>
      <c r="N26" s="14">
        <f>M26*J26*INDEX($D$3:$D$5,MATCH(K26,$A$3:$A$5,0))</f>
        <v/>
      </c>
      <c r="O26" s="10" t="inlineStr">
        <is>
          <t>○</t>
        </is>
      </c>
      <c r="P26" s="9" t="inlineStr">
        <is>
          <t>MF使用</t>
        </is>
      </c>
    </row>
    <row r="27">
      <c r="A27" s="8" t="inlineStr"/>
      <c r="B27" s="9" t="inlineStr">
        <is>
          <t>経費・仕入れ管理</t>
        </is>
      </c>
      <c r="C27" s="10" t="inlineStr">
        <is>
          <t>○</t>
        </is>
      </c>
      <c r="D27" s="9" t="inlineStr">
        <is>
          <t>週1回</t>
        </is>
      </c>
      <c r="E27" s="9" t="inlineStr">
        <is>
          <t>2〜3時間</t>
        </is>
      </c>
      <c r="F27" s="11" t="inlineStr"/>
      <c r="G27" s="10" t="n">
        <v>150</v>
      </c>
      <c r="H27" s="10" t="n">
        <v>4.3</v>
      </c>
      <c r="I27" s="10" t="n">
        <v>12</v>
      </c>
      <c r="J27" s="10" t="n">
        <v>1</v>
      </c>
      <c r="K27" s="12" t="inlineStr">
        <is>
          <t>管理職</t>
        </is>
      </c>
      <c r="L27" s="13">
        <f>G27/60*H27</f>
        <v/>
      </c>
      <c r="M27" s="13">
        <f>L27*I27</f>
        <v/>
      </c>
      <c r="N27" s="14">
        <f>M27*J27*INDEX($D$3:$D$5,MATCH(K27,$A$3:$A$5,0))</f>
        <v/>
      </c>
      <c r="O27" s="10" t="inlineStr">
        <is>
          <t>○</t>
        </is>
      </c>
      <c r="P27" s="9" t="inlineStr">
        <is>
          <t>MF使用</t>
        </is>
      </c>
    </row>
    <row r="28">
      <c r="A28" s="8" t="inlineStr"/>
      <c r="B28" s="9" t="inlineStr">
        <is>
          <t>シフト・勤怠管理</t>
        </is>
      </c>
      <c r="C28" s="10" t="inlineStr">
        <is>
          <t>○</t>
        </is>
      </c>
      <c r="D28" s="9" t="inlineStr">
        <is>
          <t>ほぼ毎日(6-9/12-3月)</t>
        </is>
      </c>
      <c r="E28" s="9" t="inlineStr">
        <is>
          <t>5分</t>
        </is>
      </c>
      <c r="F28" s="11" t="inlineStr"/>
      <c r="G28" s="10" t="n">
        <v>5</v>
      </c>
      <c r="H28" s="10" t="n">
        <v>30</v>
      </c>
      <c r="I28" s="10" t="n">
        <v>8</v>
      </c>
      <c r="J28" s="10" t="n">
        <v>1</v>
      </c>
      <c r="K28" s="12" t="inlineStr">
        <is>
          <t>管理職</t>
        </is>
      </c>
      <c r="L28" s="13">
        <f>G28/60*H28</f>
        <v/>
      </c>
      <c r="M28" s="13">
        <f>L28*I28</f>
        <v/>
      </c>
      <c r="N28" s="14">
        <f>M28*J28*INDEX($D$3:$D$5,MATCH(K28,$A$3:$A$5,0))</f>
        <v/>
      </c>
      <c r="O28" s="10" t="inlineStr">
        <is>
          <t>○</t>
        </is>
      </c>
      <c r="P28" s="9" t="inlineStr">
        <is>
          <t>MF勤怠へ移行希望</t>
        </is>
      </c>
    </row>
    <row r="29">
      <c r="A29" s="17" t="n"/>
      <c r="B29" s="18" t="inlineStr">
        <is>
          <t>■ 全業務 合計（年間）</t>
        </is>
      </c>
      <c r="C29" s="17" t="n"/>
      <c r="D29" s="17" t="n"/>
      <c r="E29" s="17" t="n"/>
      <c r="F29" s="17" t="n"/>
      <c r="G29" s="17" t="n"/>
      <c r="H29" s="17" t="n"/>
      <c r="I29" s="17" t="n"/>
      <c r="J29" s="17" t="n"/>
      <c r="K29" s="17" t="n"/>
      <c r="L29" s="17" t="n"/>
      <c r="M29" s="19">
        <f>SUM(M8:M28)</f>
        <v/>
      </c>
      <c r="N29" s="20">
        <f>SUM(N8:N28)</f>
        <v/>
      </c>
      <c r="O29" s="17" t="n"/>
      <c r="P29" s="17" t="n"/>
    </row>
    <row r="30">
      <c r="A30" s="21" t="n"/>
      <c r="B30" s="22" t="inlineStr">
        <is>
          <t>■ うち AI対象業務 小計（年間）</t>
        </is>
      </c>
      <c r="C30" s="21" t="n"/>
      <c r="D30" s="21" t="n"/>
      <c r="E30" s="21" t="n"/>
      <c r="F30" s="21" t="n"/>
      <c r="G30" s="21" t="n"/>
      <c r="H30" s="21" t="n"/>
      <c r="I30" s="21" t="n"/>
      <c r="J30" s="21" t="n"/>
      <c r="K30" s="21" t="n"/>
      <c r="L30" s="21" t="n"/>
      <c r="M30" s="23">
        <f>SUMIF(O8:O28,"○",M8:M28)</f>
        <v/>
      </c>
      <c r="N30" s="24">
        <f>SUMIF(O8:O28,"○",N8:N28)</f>
        <v/>
      </c>
      <c r="O30" s="21" t="n"/>
      <c r="P30" s="21" t="n"/>
    </row>
    <row r="31">
      <c r="A31" s="25" t="inlineStr"/>
    </row>
    <row r="32">
      <c r="A32" s="25" t="inlineStr">
        <is>
          <t>【計算前提・換算ルール】</t>
        </is>
      </c>
    </row>
    <row r="33">
      <c r="A33" s="25" t="inlineStr">
        <is>
          <t>・時給は種別ごとに設定（上部の黄色セルで変更可）：管理職=月給÷月労働時間、スタッフ・清掃スタッフも同様。</t>
        </is>
      </c>
    </row>
    <row r="34">
      <c r="A34" s="25" t="inlineStr">
        <is>
          <t>・時間に幅がある記載は中央値を採用（例 10〜30分→20分、3〜7時間→5時間、2〜3時間→2.5時間）。</t>
        </is>
      </c>
    </row>
    <row r="35">
      <c r="A35" s="25" t="inlineStr">
        <is>
          <t>・頻度の換算：週N回＝N×4.3回/月、ごくたまに＝1回/月、ほぼ毎日＝30回/月（稼働月のみ）、年5回＝0.4回/月、合宿5チームに1＝4回/月（仮）。</t>
        </is>
      </c>
    </row>
    <row r="36">
      <c r="A36" s="25" t="inlineStr">
        <is>
          <t>・稼働月：通年＝12ヶ月、繁忙期(6-9/12-3月)＝8ヶ月、夏(7-9月)＝3ヶ月、合宿関連＝6ヶ月（仮）。</t>
        </is>
      </c>
    </row>
    <row r="37">
      <c r="A37" s="25" t="inlineStr">
        <is>
          <t>・コスト＝年間時間 × 人数 × 時給（種別ごとに自動参照）。</t>
        </is>
      </c>
    </row>
    <row r="38">
      <c r="A38" s="25" t="inlineStr">
        <is>
          <t>・注意：客室清掃と共用部清掃は同じ時間帯の作業が二重計上されている可能性あり。</t>
        </is>
      </c>
    </row>
    <row r="39">
      <c r="A39" s="25" t="inlineStr">
        <is>
          <t>・AI対象（○）＝事務・文章・連絡・集計など。物理作業（—）は対象外。</t>
        </is>
      </c>
    </row>
  </sheetData>
  <mergeCells count="10">
    <mergeCell ref="A32:P32"/>
    <mergeCell ref="A36:P36"/>
    <mergeCell ref="A1:P1"/>
    <mergeCell ref="A37:P37"/>
    <mergeCell ref="A31:P31"/>
    <mergeCell ref="A39:P39"/>
    <mergeCell ref="A34:P34"/>
    <mergeCell ref="A35:P35"/>
    <mergeCell ref="A38:P38"/>
    <mergeCell ref="A33:P3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2026-06-24T08:46:42Z</dcterms:created>
  <dcterms:modified xsi:type="dcterms:W3CDTF">2026-06-24T08:46:42Z</dcterms:modified>
</cp:coreProperties>
</file>